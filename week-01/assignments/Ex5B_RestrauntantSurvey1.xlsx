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eremiahgoode\AppData\Local\Programs\Git\DataAnalytics\week-01\assignments\"/>
    </mc:Choice>
  </mc:AlternateContent>
  <xr:revisionPtr revIDLastSave="0" documentId="13_ncr:1_{47265EF5-9394-447D-AE67-42C30F1DA1F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2" sheetId="2" r:id="rId1"/>
    <sheet name="Sheet1" sheetId="1" r:id="rId2"/>
  </sheets>
  <calcPr calcId="191029"/>
  <pivotCaches>
    <pivotCache cacheId="9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1" l="1"/>
  <c r="H8" i="1"/>
  <c r="G8" i="1"/>
  <c r="F8" i="1"/>
  <c r="E8" i="1"/>
</calcChain>
</file>

<file path=xl/sharedStrings.xml><?xml version="1.0" encoding="utf-8"?>
<sst xmlns="http://schemas.openxmlformats.org/spreadsheetml/2006/main" count="58" uniqueCount="32">
  <si>
    <t>ID</t>
  </si>
  <si>
    <t>Start time</t>
  </si>
  <si>
    <t>Completion time</t>
  </si>
  <si>
    <t>Email</t>
  </si>
  <si>
    <t>How Did You Enjoy Your Visit </t>
  </si>
  <si>
    <t>How Often Do You Visit?</t>
  </si>
  <si>
    <t>Would You Recommend A Friend?</t>
  </si>
  <si>
    <t>How Did You Hear About Us??</t>
  </si>
  <si>
    <t>Did You Try Our New Loaded Cheese Fries</t>
  </si>
  <si>
    <t>What Are Some Things That We Did Well or Need to Improve On for Your Next Visit</t>
  </si>
  <si>
    <t>anonymous</t>
  </si>
  <si>
    <t>Good</t>
  </si>
  <si>
    <t>Weekly</t>
  </si>
  <si>
    <t>Yes</t>
  </si>
  <si>
    <t>Tiktok</t>
  </si>
  <si>
    <t>The quality of the food, it wasn't fresh. Fries were cold</t>
  </si>
  <si>
    <t>Monthly</t>
  </si>
  <si>
    <t>No</t>
  </si>
  <si>
    <t>Alright</t>
  </si>
  <si>
    <t>Seasonal</t>
  </si>
  <si>
    <t>The service was so bad. The cashier was rude and yelled at me.</t>
  </si>
  <si>
    <t>Okay</t>
  </si>
  <si>
    <t>Maybe</t>
  </si>
  <si>
    <t>Creating the triple dipper was the best thing that was made.</t>
  </si>
  <si>
    <t>Awesome </t>
  </si>
  <si>
    <t>I live nearby</t>
  </si>
  <si>
    <t>more cushy seats</t>
  </si>
  <si>
    <t>everything was good except for the wait time. Had to wait 3 hours longer than expected</t>
  </si>
  <si>
    <t xml:space="preserve"> </t>
  </si>
  <si>
    <t>Row Labels</t>
  </si>
  <si>
    <t>Grand Total</t>
  </si>
  <si>
    <t>Count of 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</si>
</sst>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0"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[Ex5B_RestrauntantSurvey1.xlsx]Sheet2!PivotTable20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E4E-4526-834E-06585EA653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E4E-4526-834E-06585EA653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E4E-4526-834E-06585EA653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7E4E-4526-834E-06585EA653D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7E4E-4526-834E-06585EA653D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7E4E-4526-834E-06585EA653D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7E4E-4526-834E-06585EA653D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6-7E4E-4526-834E-06585EA653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Sheet2!$A$2:$A$6</c:f>
              <c:strCache>
                <c:ptCount val="4"/>
                <c:pt idx="0">
                  <c:v>Alright</c:v>
                </c:pt>
                <c:pt idx="1">
                  <c:v>Awesome </c:v>
                </c:pt>
                <c:pt idx="2">
                  <c:v>Good</c:v>
                </c:pt>
                <c:pt idx="3">
                  <c:v>Okay</c:v>
                </c:pt>
              </c:strCache>
            </c:strRef>
          </c:cat>
          <c:val>
            <c:numRef>
              <c:f>Sheet2!$B$2:$B$6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4E-4526-834E-06585EA65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C2C174-BC05-E61E-503B-FC3871F479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emiah goode" refreshedDate="46122.716531597223" createdVersion="8" refreshedVersion="8" minRefreshableVersion="3" recordCount="6" xr:uid="{DD491B80-EA0E-49B2-8CE2-8D0F60761895}">
  <cacheSource type="worksheet">
    <worksheetSource name="Table1[[Email]:[Did You Try Our New Loaded Cheese Fries]]"/>
  </cacheSource>
  <cacheFields count="8">
    <cacheField name="Email" numFmtId="0">
      <sharedItems count="1">
        <s v="anonymous"/>
      </sharedItems>
    </cacheField>
    <cacheField name="Name" numFmtId="0">
      <sharedItems containsNonDate="0" containsString="0" containsBlank="1" count="1">
        <m/>
      </sharedItems>
    </cacheField>
    <cacheField name="Last modified time" numFmtId="164">
      <sharedItems containsNonDate="0" containsString="0" containsBlank="1"/>
    </cacheField>
    <cacheField name="How Did You Enjoy Your Visit " numFmtId="0">
      <sharedItems count="4">
        <s v="Good"/>
        <s v="Alright"/>
        <s v="Okay"/>
        <s v="Awesome "/>
      </sharedItems>
    </cacheField>
    <cacheField name="How Often Do You Visit?" numFmtId="0">
      <sharedItems/>
    </cacheField>
    <cacheField name="Would You Recommend A Friend?" numFmtId="0">
      <sharedItems/>
    </cacheField>
    <cacheField name="How Did You Hear About Us??" numFmtId="0">
      <sharedItems/>
    </cacheField>
    <cacheField name="Did You Try Our New Loaded Cheese Fri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x v="0"/>
    <m/>
    <x v="0"/>
    <s v="Weekly"/>
    <s v="Yes"/>
    <s v="Tiktok"/>
    <s v="Yes"/>
  </r>
  <r>
    <x v="0"/>
    <x v="0"/>
    <m/>
    <x v="0"/>
    <s v="Monthly"/>
    <s v="Yes"/>
    <s v="Tiktok"/>
    <s v="No"/>
  </r>
  <r>
    <x v="0"/>
    <x v="0"/>
    <m/>
    <x v="1"/>
    <s v="Seasonal"/>
    <s v="No"/>
    <s v="Tiktok"/>
    <s v="No"/>
  </r>
  <r>
    <x v="0"/>
    <x v="0"/>
    <m/>
    <x v="2"/>
    <s v="Monthly"/>
    <s v="Maybe"/>
    <s v="Tiktok"/>
    <s v="No"/>
  </r>
  <r>
    <x v="0"/>
    <x v="0"/>
    <m/>
    <x v="3"/>
    <s v="Monthly"/>
    <s v="Yes"/>
    <s v="I live nearby"/>
    <s v="No"/>
  </r>
  <r>
    <x v="0"/>
    <x v="0"/>
    <m/>
    <x v="3"/>
    <s v="Monthly"/>
    <s v="Yes"/>
    <s v="Tiktok"/>
    <s v=" 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268E1-66A3-4A0E-BC20-36E25B89B393}" name="PivotTable20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:B6" firstHeaderRow="1" firstDataRow="1" firstDataCol="1"/>
  <pivotFields count="8">
    <pivotField dataField="1"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/>
    <pivotField axis="axisRow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ail" fld="0" subtotal="count" baseField="0" baseItem="0"/>
  </dataFields>
  <chartFormats count="5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8" totalsRowCount="1">
  <autoFilter ref="A1:J7" xr:uid="{00000000-0009-0000-0100-000001000000}"/>
  <tableColumns count="10">
    <tableColumn id="1" xr3:uid="{00000000-0010-0000-0000-000001000000}" name="ID" dataDxfId="19" totalsRowDxfId="11"/>
    <tableColumn id="2" xr3:uid="{00000000-0010-0000-0000-000002000000}" name="Start time" dataDxfId="18" totalsRowDxfId="10"/>
    <tableColumn id="3" xr3:uid="{00000000-0010-0000-0000-000003000000}" name="Completion time" dataDxfId="17" totalsRowDxfId="9"/>
    <tableColumn id="4" xr3:uid="{00000000-0010-0000-0000-000004000000}" name="Email" dataDxfId="16" totalsRowDxfId="8"/>
    <tableColumn id="7" xr3:uid="{00000000-0010-0000-0000-000007000000}" name="How Did You Enjoy Your Visit " totalsRowFunction="custom" dataDxfId="15" totalsRowDxfId="7">
      <totalsRowFormula>COUNTIF(Table1[How Did You Enjoy Your Visit ],"Good")</totalsRowFormula>
    </tableColumn>
    <tableColumn id="8" xr3:uid="{00000000-0010-0000-0000-000008000000}" name="How Often Do You Visit?" totalsRowFunction="custom" dataDxfId="14" totalsRowDxfId="6">
      <totalsRowFormula>COUNTIF(Table1[How Often Do You Visit?],"Monthly")</totalsRowFormula>
    </tableColumn>
    <tableColumn id="9" xr3:uid="{00000000-0010-0000-0000-000009000000}" name="Would You Recommend A Friend?" totalsRowFunction="custom" dataDxfId="13" totalsRowDxfId="5">
      <totalsRowFormula>COUNTIF(Table1[Would You Recommend A Friend?],"Yes")</totalsRowFormula>
    </tableColumn>
    <tableColumn id="10" xr3:uid="{00000000-0010-0000-0000-00000A000000}" name="How Did You Hear About Us??" totalsRowFunction="custom" dataDxfId="12" totalsRowDxfId="4">
      <totalsRowFormula>COUNTIF(Table1[How Did You Hear About Us??],"Tiktok")</totalsRowFormula>
    </tableColumn>
    <tableColumn id="11" xr3:uid="{00000000-0010-0000-0000-00000B000000}" name="Did You Try Our New Loaded Cheese Fries" totalsRowFunction="custom" dataDxfId="1" totalsRowDxfId="3">
      <totalsRowFormula>COUNTIF(Table1[Did You Try Our New Loaded Cheese Fries],"No")</totalsRowFormula>
    </tableColumn>
    <tableColumn id="12" xr3:uid="{00000000-0010-0000-0000-00000C000000}" name="What Are Some Things That We Did Well or Need to Improve On for Your Next Visit" dataDxfId="0" totalsRow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4A6A1-8FB1-4FC5-8E9E-C097C1DC8395}">
  <dimension ref="A1:B6"/>
  <sheetViews>
    <sheetView workbookViewId="0">
      <selection activeCell="N13" sqref="N13"/>
    </sheetView>
  </sheetViews>
  <sheetFormatPr defaultRowHeight="14.4"/>
  <cols>
    <col min="1" max="1" width="12.5546875" bestFit="1" customWidth="1"/>
    <col min="2" max="2" width="13.44140625" bestFit="1" customWidth="1"/>
    <col min="3" max="3" width="10.77734375" bestFit="1" customWidth="1"/>
  </cols>
  <sheetData>
    <row r="1" spans="1:2">
      <c r="A1" s="4" t="s">
        <v>29</v>
      </c>
      <c r="B1" t="s">
        <v>31</v>
      </c>
    </row>
    <row r="2" spans="1:2">
      <c r="A2" s="5" t="s">
        <v>18</v>
      </c>
      <c r="B2" s="3">
        <v>1</v>
      </c>
    </row>
    <row r="3" spans="1:2">
      <c r="A3" s="5" t="s">
        <v>24</v>
      </c>
      <c r="B3" s="3">
        <v>2</v>
      </c>
    </row>
    <row r="4" spans="1:2">
      <c r="A4" s="5" t="s">
        <v>11</v>
      </c>
      <c r="B4" s="3">
        <v>2</v>
      </c>
    </row>
    <row r="5" spans="1:2">
      <c r="A5" s="5" t="s">
        <v>21</v>
      </c>
      <c r="B5" s="3">
        <v>1</v>
      </c>
    </row>
    <row r="6" spans="1:2">
      <c r="A6" s="5" t="s">
        <v>30</v>
      </c>
      <c r="B6" s="3">
        <v>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zoomScale="62" workbookViewId="0">
      <selection activeCell="H13" sqref="H13"/>
    </sheetView>
  </sheetViews>
  <sheetFormatPr defaultRowHeight="14.4"/>
  <cols>
    <col min="1" max="4" width="20" bestFit="1" customWidth="1"/>
    <col min="5" max="5" width="22.109375" customWidth="1"/>
    <col min="6" max="6" width="19.21875" customWidth="1"/>
    <col min="7" max="7" width="29.21875" customWidth="1"/>
    <col min="8" max="8" width="28.5546875" customWidth="1"/>
    <col min="9" max="9" width="32.21875" customWidth="1"/>
    <col min="10" max="10" width="39.44140625" customWidth="1"/>
    <col min="11" max="11" width="20" bestFit="1" customWidth="1"/>
    <col min="12" max="12" width="79" customWidth="1"/>
  </cols>
  <sheetData>
    <row r="1" spans="1:10" ht="28.8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8.8">
      <c r="A2">
        <v>1</v>
      </c>
      <c r="B2" s="1">
        <v>46121.597731481503</v>
      </c>
      <c r="C2" s="1">
        <v>46121.598530092597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13</v>
      </c>
      <c r="J2" s="2" t="s">
        <v>15</v>
      </c>
    </row>
    <row r="3" spans="1:10">
      <c r="A3">
        <v>2</v>
      </c>
      <c r="B3" s="1">
        <v>46121.944884259297</v>
      </c>
      <c r="C3" s="1">
        <v>46121.945127314801</v>
      </c>
      <c r="D3" t="s">
        <v>10</v>
      </c>
      <c r="E3" t="s">
        <v>11</v>
      </c>
      <c r="F3" t="s">
        <v>16</v>
      </c>
      <c r="G3" t="s">
        <v>13</v>
      </c>
      <c r="H3" t="s">
        <v>14</v>
      </c>
      <c r="I3" t="s">
        <v>17</v>
      </c>
      <c r="J3" s="2"/>
    </row>
    <row r="4" spans="1:10" ht="28.8">
      <c r="A4">
        <v>3</v>
      </c>
      <c r="B4" s="1">
        <v>46122.413819444402</v>
      </c>
      <c r="C4" s="1">
        <v>46122.414548611101</v>
      </c>
      <c r="D4" t="s">
        <v>10</v>
      </c>
      <c r="E4" t="s">
        <v>18</v>
      </c>
      <c r="F4" t="s">
        <v>19</v>
      </c>
      <c r="G4" t="s">
        <v>17</v>
      </c>
      <c r="H4" t="s">
        <v>14</v>
      </c>
      <c r="I4" t="s">
        <v>17</v>
      </c>
      <c r="J4" s="2" t="s">
        <v>20</v>
      </c>
    </row>
    <row r="5" spans="1:10" ht="28.8">
      <c r="A5">
        <v>4</v>
      </c>
      <c r="B5" s="1">
        <v>46122.464328703703</v>
      </c>
      <c r="C5" s="1">
        <v>46122.465659722198</v>
      </c>
      <c r="D5" t="s">
        <v>10</v>
      </c>
      <c r="E5" t="s">
        <v>21</v>
      </c>
      <c r="F5" t="s">
        <v>16</v>
      </c>
      <c r="G5" t="s">
        <v>22</v>
      </c>
      <c r="H5" t="s">
        <v>14</v>
      </c>
      <c r="I5" t="s">
        <v>17</v>
      </c>
      <c r="J5" s="2" t="s">
        <v>23</v>
      </c>
    </row>
    <row r="6" spans="1:10">
      <c r="A6">
        <v>5</v>
      </c>
      <c r="B6" s="1">
        <v>46122.496018518497</v>
      </c>
      <c r="C6" s="1">
        <v>46122.496296296304</v>
      </c>
      <c r="D6" t="s">
        <v>10</v>
      </c>
      <c r="E6" t="s">
        <v>24</v>
      </c>
      <c r="F6" t="s">
        <v>16</v>
      </c>
      <c r="G6" t="s">
        <v>13</v>
      </c>
      <c r="H6" t="s">
        <v>25</v>
      </c>
      <c r="I6" t="s">
        <v>17</v>
      </c>
      <c r="J6" s="2" t="s">
        <v>26</v>
      </c>
    </row>
    <row r="7" spans="1:10" ht="28.8">
      <c r="A7">
        <v>6</v>
      </c>
      <c r="B7" s="1">
        <v>46122.572870370401</v>
      </c>
      <c r="C7" s="1">
        <v>46122.573634259301</v>
      </c>
      <c r="D7" t="s">
        <v>10</v>
      </c>
      <c r="E7" t="s">
        <v>24</v>
      </c>
      <c r="F7" t="s">
        <v>16</v>
      </c>
      <c r="G7" t="s">
        <v>13</v>
      </c>
      <c r="H7" t="s">
        <v>14</v>
      </c>
      <c r="I7" t="s">
        <v>28</v>
      </c>
      <c r="J7" s="2" t="s">
        <v>27</v>
      </c>
    </row>
    <row r="8" spans="1:10">
      <c r="A8" s="3"/>
      <c r="B8" s="1"/>
      <c r="C8" s="1"/>
      <c r="D8" s="3"/>
      <c r="E8" s="3">
        <f>COUNTIF(Table1[How Did You Enjoy Your Visit ],"Good")</f>
        <v>2</v>
      </c>
      <c r="F8" s="3">
        <f>COUNTIF(Table1[How Often Do You Visit?],"Monthly")</f>
        <v>4</v>
      </c>
      <c r="G8" s="3">
        <f>COUNTIF(Table1[Would You Recommend A Friend?],"Yes")</f>
        <v>4</v>
      </c>
      <c r="H8" s="3">
        <f>COUNTIF(Table1[How Did You Hear About Us??],"Tiktok")</f>
        <v>5</v>
      </c>
      <c r="I8" s="3">
        <f>COUNTIF(Table1[Did You Try Our New Loaded Cheese Fries],"No")</f>
        <v>4</v>
      </c>
      <c r="J8" s="3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goode</dc:creator>
  <cp:lastModifiedBy>jeremiah goode</cp:lastModifiedBy>
  <dcterms:created xsi:type="dcterms:W3CDTF">2026-04-10T23:08:38Z</dcterms:created>
  <dcterms:modified xsi:type="dcterms:W3CDTF">2026-04-11T00:53:16Z</dcterms:modified>
</cp:coreProperties>
</file>