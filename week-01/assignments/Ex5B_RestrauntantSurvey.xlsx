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eremiahgoode\AppData\Local\Programs\Git\DataAnalytics\week-01\assignments\"/>
    </mc:Choice>
  </mc:AlternateContent>
  <xr:revisionPtr revIDLastSave="0" documentId="13_ncr:1_{F4E31750-1DDF-492F-8205-2E509ADD8BE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J5" i="1"/>
  <c r="I5" i="1"/>
  <c r="H5" i="1"/>
  <c r="D5" i="1"/>
  <c r="D2" i="1"/>
  <c r="D3" i="1"/>
  <c r="D4" i="1"/>
</calcChain>
</file>

<file path=xl/sharedStrings.xml><?xml version="1.0" encoding="utf-8"?>
<sst xmlns="http://schemas.openxmlformats.org/spreadsheetml/2006/main" count="33" uniqueCount="24">
  <si>
    <t>ID</t>
  </si>
  <si>
    <t>Start time</t>
  </si>
  <si>
    <t>Completion time</t>
  </si>
  <si>
    <t>Email</t>
  </si>
  <si>
    <t>Name</t>
  </si>
  <si>
    <t>Last modified time</t>
  </si>
  <si>
    <t>How Did You Enjoy Your Visit </t>
  </si>
  <si>
    <t>How Often Do You Visit?</t>
  </si>
  <si>
    <t>Would You Recommend A Friend?</t>
  </si>
  <si>
    <t>How Did You Hear About Us??</t>
  </si>
  <si>
    <t>Did You Try Our New Loaded Cheese Fries</t>
  </si>
  <si>
    <t>What Are Some Things That We Did Well or Need to Improve On for Your Next Visit</t>
  </si>
  <si>
    <t>anonymous</t>
  </si>
  <si>
    <t>Good</t>
  </si>
  <si>
    <t>Weekly</t>
  </si>
  <si>
    <t>Yes</t>
  </si>
  <si>
    <t>Tiktok</t>
  </si>
  <si>
    <t>The quality of the food, it wasn't fresh. Fries were cold</t>
  </si>
  <si>
    <t>Monthly</t>
  </si>
  <si>
    <t>No</t>
  </si>
  <si>
    <t>Alright</t>
  </si>
  <si>
    <t>Seasonal</t>
  </si>
  <si>
    <t>The service was so bad. The cashier was rude and yelled at me.</t>
  </si>
  <si>
    <t>Time to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</si>
</sst>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7" formatCode="mm/dd/yy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NumberFormat="1"/>
    <xf numFmtId="167" fontId="0" fillId="0" borderId="0" xfId="0" applyNumberFormat="1"/>
    <xf numFmtId="45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8" formatCode="mm:ss"/>
    </dxf>
    <dxf>
      <numFmt numFmtId="28" formatCode="mm:ss"/>
    </dxf>
    <dxf>
      <numFmt numFmtId="164" formatCode="m/d/yy\ h:mm:ss"/>
    </dxf>
    <dxf>
      <numFmt numFmtId="164" formatCode="m/d/yy\ h:mm:ss"/>
    </dxf>
    <dxf>
      <numFmt numFmtId="167" formatCode="mm/dd/yyyy\ h:mm:ss"/>
    </dxf>
    <dxf>
      <numFmt numFmtId="167" formatCode="mm/dd/yyyy\ 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5" totalsRowCount="1">
  <autoFilter ref="A1:M4" xr:uid="{00000000-0009-0000-0100-000001000000}"/>
  <tableColumns count="13">
    <tableColumn id="1" xr3:uid="{00000000-0010-0000-0000-000001000000}" name="ID" dataDxfId="25" totalsRowDxfId="24"/>
    <tableColumn id="2" xr3:uid="{00000000-0010-0000-0000-000002000000}" name="Start time" dataDxfId="23" totalsRowDxfId="22"/>
    <tableColumn id="3" xr3:uid="{00000000-0010-0000-0000-000003000000}" name="Completion time" dataDxfId="21" totalsRowDxfId="20"/>
    <tableColumn id="13" xr3:uid="{80281412-3359-4AD2-8FF3-1E365F5A12A2}" name="Time to Complete" totalsRowFunction="custom" dataDxfId="19" totalsRowDxfId="18">
      <calculatedColumnFormula>C2-B2</calculatedColumnFormula>
      <totalsRowFormula>AVERAGE(D2:D4)</totalsRowFormula>
    </tableColumn>
    <tableColumn id="4" xr3:uid="{00000000-0010-0000-0000-000004000000}" name="Email" dataDxfId="17" totalsRowDxfId="16"/>
    <tableColumn id="5" xr3:uid="{00000000-0010-0000-0000-000005000000}" name="Name" dataDxfId="15" totalsRowDxfId="14"/>
    <tableColumn id="6" xr3:uid="{00000000-0010-0000-0000-000006000000}" name="Last modified time" dataDxfId="13" totalsRowDxfId="12"/>
    <tableColumn id="7" xr3:uid="{00000000-0010-0000-0000-000007000000}" name="How Did You Enjoy Your Visit " totalsRowFunction="custom" dataDxfId="11" totalsRowDxfId="10">
      <totalsRowFormula>COUNTIF(H2:H4,"Good")</totalsRowFormula>
    </tableColumn>
    <tableColumn id="8" xr3:uid="{00000000-0010-0000-0000-000008000000}" name="How Often Do You Visit?" totalsRowFunction="custom" dataDxfId="9" totalsRowDxfId="8">
      <totalsRowFormula>SUM(COUNTIF(Table1[How Did You Hear About Us??],"Tiktok"))</totalsRowFormula>
    </tableColumn>
    <tableColumn id="9" xr3:uid="{00000000-0010-0000-0000-000009000000}" name="Would You Recommend A Friend?" totalsRowFunction="custom" dataDxfId="7" totalsRowDxfId="6">
      <totalsRowFormula>SUM(COUNTIF(Table1[Would You Recommend A Friend?],"Yes"))</totalsRowFormula>
    </tableColumn>
    <tableColumn id="10" xr3:uid="{00000000-0010-0000-0000-00000A000000}" name="How Did You Hear About Us??" totalsRowFunction="custom" dataDxfId="5" totalsRowDxfId="4">
      <totalsRowFormula>COUNTIF(Table1[How Did You Hear About Us??],"Tiktok")</totalsRowFormula>
    </tableColumn>
    <tableColumn id="11" xr3:uid="{00000000-0010-0000-0000-00000B000000}" name="Did You Try Our New Loaded Cheese Fries" dataDxfId="3" totalsRowDxfId="2"/>
    <tableColumn id="12" xr3:uid="{00000000-0010-0000-0000-00000C000000}" name="What Are Some Things That We Did Well or Need to Improve On for Your Next Visit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zoomScale="43" workbookViewId="0">
      <selection activeCell="F8" sqref="F8"/>
    </sheetView>
  </sheetViews>
  <sheetFormatPr defaultRowHeight="14.4"/>
  <cols>
    <col min="1" max="1" width="20" bestFit="1" customWidth="1"/>
    <col min="2" max="2" width="20" style="3" bestFit="1" customWidth="1"/>
    <col min="3" max="3" width="20" bestFit="1" customWidth="1"/>
    <col min="4" max="4" width="20" style="4" customWidth="1"/>
    <col min="5" max="12" width="20" bestFit="1" customWidth="1"/>
    <col min="13" max="13" width="53.88671875" customWidth="1"/>
  </cols>
  <sheetData>
    <row r="1" spans="1:13">
      <c r="A1" t="s">
        <v>0</v>
      </c>
      <c r="B1" s="3" t="s">
        <v>1</v>
      </c>
      <c r="C1" t="s">
        <v>2</v>
      </c>
      <c r="D1" s="4" t="s">
        <v>23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1</v>
      </c>
      <c r="B2" s="3">
        <v>46121.597731481503</v>
      </c>
      <c r="C2" s="3">
        <v>46121.598530092597</v>
      </c>
      <c r="D2" s="4">
        <f t="shared" ref="D2:D4" si="0">C2-B2</f>
        <v>7.986110940692015E-4</v>
      </c>
      <c r="E2" t="s">
        <v>12</v>
      </c>
      <c r="G2" s="1"/>
      <c r="H2" t="s">
        <v>13</v>
      </c>
      <c r="I2" t="s">
        <v>14</v>
      </c>
      <c r="J2" t="s">
        <v>15</v>
      </c>
      <c r="K2" t="s">
        <v>16</v>
      </c>
      <c r="L2" t="s">
        <v>15</v>
      </c>
      <c r="M2" t="s">
        <v>17</v>
      </c>
    </row>
    <row r="3" spans="1:13">
      <c r="A3">
        <v>2</v>
      </c>
      <c r="B3" s="3">
        <v>46121.944884259297</v>
      </c>
      <c r="C3" s="3">
        <v>46122.598530092589</v>
      </c>
      <c r="D3" s="4">
        <f t="shared" si="0"/>
        <v>0.65364583329210291</v>
      </c>
      <c r="E3" t="s">
        <v>12</v>
      </c>
      <c r="G3" s="1"/>
      <c r="H3" t="s">
        <v>13</v>
      </c>
      <c r="I3" t="s">
        <v>18</v>
      </c>
      <c r="J3" t="s">
        <v>15</v>
      </c>
      <c r="K3" t="s">
        <v>16</v>
      </c>
      <c r="L3" t="s">
        <v>19</v>
      </c>
    </row>
    <row r="4" spans="1:13">
      <c r="A4">
        <v>3</v>
      </c>
      <c r="B4" s="3">
        <v>46122.413819444402</v>
      </c>
      <c r="C4" s="3">
        <v>46123.598530092589</v>
      </c>
      <c r="D4" s="4">
        <f t="shared" si="0"/>
        <v>1.1847106481873197</v>
      </c>
      <c r="E4" t="s">
        <v>12</v>
      </c>
      <c r="G4" s="1"/>
      <c r="H4" t="s">
        <v>20</v>
      </c>
      <c r="I4" t="s">
        <v>21</v>
      </c>
      <c r="J4" t="s">
        <v>19</v>
      </c>
      <c r="K4" t="s">
        <v>16</v>
      </c>
      <c r="L4" t="s">
        <v>19</v>
      </c>
      <c r="M4" t="s">
        <v>22</v>
      </c>
    </row>
    <row r="5" spans="1:13">
      <c r="A5" s="2"/>
      <c r="C5" s="1"/>
      <c r="D5" s="4">
        <f>AVERAGE(D2:D4)</f>
        <v>0.61305169752449729</v>
      </c>
      <c r="E5" s="2"/>
      <c r="F5" s="2"/>
      <c r="G5" s="1"/>
      <c r="H5" s="2">
        <f>COUNTIF(H2:H4,"Good")</f>
        <v>2</v>
      </c>
      <c r="I5" s="2">
        <f>SUM(COUNTIF(Table1[How Did You Hear About Us??],"Tiktok"))</f>
        <v>3</v>
      </c>
      <c r="J5" s="2">
        <f>SUM(COUNTIF(Table1[Would You Recommend A Friend?],"Yes"))</f>
        <v>2</v>
      </c>
      <c r="K5" s="2">
        <f>COUNTIF(Table1[How Did You Hear About Us??],"Tiktok")</f>
        <v>3</v>
      </c>
      <c r="L5" s="2"/>
      <c r="M5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goode</dc:creator>
  <cp:lastModifiedBy>jeremiah goode</cp:lastModifiedBy>
  <dcterms:created xsi:type="dcterms:W3CDTF">2026-04-10T18:06:57Z</dcterms:created>
  <dcterms:modified xsi:type="dcterms:W3CDTF">2026-04-11T00:09:27Z</dcterms:modified>
</cp:coreProperties>
</file>